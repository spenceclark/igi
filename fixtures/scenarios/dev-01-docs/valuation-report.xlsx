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  <sheet name="Performance" sheetId="2" r:id="rId2"/>
  </sheets>
</workbook>
</file>

<file path=xl/sharedStrings.xml><?xml version="1.0" encoding="utf-8"?>
<sst xmlns="http://schemas.openxmlformats.org/spreadsheetml/2006/main" count="46" uniqueCount="46">
  <si>
    <t xml:space="preserve">Model portfolio valuation report</t>
  </si>
  <si>
    <t xml:space="preserve">Prepared on 2 October 2026 by Fund Administration</t>
  </si>
  <si>
    <t xml:space="preserve">Portfolio</t>
  </si>
  <si>
    <t xml:space="preserve">Valuation date</t>
  </si>
  <si>
    <t xml:space="preserve">Instrument ID</t>
  </si>
  <si>
    <t xml:space="preserve">Fund</t>
  </si>
  <si>
    <t xml:space="preserve">Fund type</t>
  </si>
  <si>
    <t xml:space="preserve">Market value (GBP)</t>
  </si>
  <si>
    <t xml:space="preserve">Weight</t>
  </si>
  <si>
    <t xml:space="preserve">P-CAU</t>
  </si>
  <si>
    <t xml:space="preserve">ZZ61YF5RCR74</t>
  </si>
  <si>
    <t xml:space="preserve">Ashby Gilt Index</t>
  </si>
  <si>
    <t xml:space="preserve">Fixed income</t>
  </si>
  <si>
    <t xml:space="preserve">ZZQXM255I0N1</t>
  </si>
  <si>
    <t xml:space="preserve">Calder Sterling Corporate Bond</t>
  </si>
  <si>
    <t xml:space="preserve">ZZX5ALYFDR48</t>
  </si>
  <si>
    <t xml:space="preserve">Ouse Short-Dated Bond</t>
  </si>
  <si>
    <t xml:space="preserve">ZZ4RJNDOLY80</t>
  </si>
  <si>
    <t xml:space="preserve">Northgate UK Equity Index</t>
  </si>
  <si>
    <t xml:space="preserve">Equity</t>
  </si>
  <si>
    <t xml:space="preserve">ZZDSEVH32F11</t>
  </si>
  <si>
    <t xml:space="preserve">Harrow Global Equity</t>
  </si>
  <si>
    <t xml:space="preserve">ZZMKGVD75CN6</t>
  </si>
  <si>
    <t xml:space="preserve">Wensley Multi-Asset Income</t>
  </si>
  <si>
    <t xml:space="preserve">Multi-asset</t>
  </si>
  <si>
    <t xml:space="preserve">ZZ33R4QNL8L6</t>
  </si>
  <si>
    <t xml:space="preserve">Fenwick Strategic Multi-Asset</t>
  </si>
  <si>
    <t xml:space="preserve">ZZFEJAI3FPG5</t>
  </si>
  <si>
    <t xml:space="preserve">Sterling Cash</t>
  </si>
  <si>
    <t xml:space="preserve">Cash</t>
  </si>
  <si>
    <t xml:space="preserve">P-BAL</t>
  </si>
  <si>
    <t xml:space="preserve">ZZ2DNH3U3WL8</t>
  </si>
  <si>
    <t xml:space="preserve">Kentmere Global Equity Income</t>
  </si>
  <si>
    <t xml:space="preserve">ZZPT6VUMMK73</t>
  </si>
  <si>
    <t xml:space="preserve">Tarn Property Securities</t>
  </si>
  <si>
    <t xml:space="preserve">Property</t>
  </si>
  <si>
    <t xml:space="preserve">ZZI6JYTJ56O9</t>
  </si>
  <si>
    <t xml:space="preserve">Brackley Absolute Return</t>
  </si>
  <si>
    <t xml:space="preserve">Alternatives</t>
  </si>
  <si>
    <t xml:space="preserve">P-GRO</t>
  </si>
  <si>
    <t xml:space="preserve">ZZR92N1L1FU4</t>
  </si>
  <si>
    <t xml:space="preserve">Mardale Emerging Markets Equity</t>
  </si>
  <si>
    <t xml:space="preserve">Portfolio returns for each period</t>
  </si>
  <si>
    <t xml:space="preserve">Period end</t>
  </si>
  <si>
    <t xml:space="preserve">Portfolio return</t>
  </si>
  <si>
    <t xml:space="preserve">Benchmark return</t>
  </si>
</sst>
</file>

<file path=xl/styles.xml><?xml version="1.0" encoding="utf-8"?>
<styleSheet xmlns="http://schemas.openxmlformats.org/spreadsheetml/2006/main">
  <numFmts count="1">
    <numFmt numFmtId="164" formatCode="d mmm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4">
    <xf numFmtId="0"/>
    <xf numFmtId="10" applyNumberFormat="1"/>
    <xf numFmtId="164" applyNumberFormat="1"/>
    <xf numFmtId="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>
      <c r="A5" t="s">
        <v>9</v>
      </c>
      <c r="B5" s="2">
        <v>46203</v>
      </c>
      <c r="C5" t="s">
        <v>10</v>
      </c>
      <c r="D5" t="s">
        <v>11</v>
      </c>
      <c r="E5" t="s">
        <v>12</v>
      </c>
      <c r="F5" s="3">
        <v>7395231.00</v>
      </c>
      <c r="G5" s="1">
        <f>ROUND(F5/SUMIFS(F:F,A:A,A5,B:B,B5),4)</f>
        <v>0.1730</v>
      </c>
    </row>
    <row r="6">
      <c r="A6" t="s">
        <v>9</v>
      </c>
      <c r="B6" s="2">
        <v>46203</v>
      </c>
      <c r="C6" t="s">
        <v>13</v>
      </c>
      <c r="D6" t="s">
        <v>14</v>
      </c>
      <c r="E6" t="s">
        <v>12</v>
      </c>
      <c r="F6" s="3">
        <v>6283809.00</v>
      </c>
      <c r="G6" s="1">
        <f>ROUND(F6/SUMIFS(F:F,A:A,A6,B:B,B6),4)</f>
        <v>0.1470</v>
      </c>
    </row>
    <row r="7">
      <c r="A7" t="s">
        <v>9</v>
      </c>
      <c r="B7" s="2">
        <v>46203</v>
      </c>
      <c r="C7" t="s">
        <v>15</v>
      </c>
      <c r="D7" t="s">
        <v>16</v>
      </c>
      <c r="E7" t="s">
        <v>12</v>
      </c>
      <c r="F7" s="3">
        <v>5129640.00</v>
      </c>
      <c r="G7" s="1">
        <f>ROUND(F7/SUMIFS(F:F,A:A,A7,B:B,B7),4)</f>
        <v>0.1200</v>
      </c>
    </row>
    <row r="8">
      <c r="A8" t="s">
        <v>9</v>
      </c>
      <c r="B8" s="2">
        <v>46203</v>
      </c>
      <c r="C8" t="s">
        <v>17</v>
      </c>
      <c r="D8" t="s">
        <v>18</v>
      </c>
      <c r="E8" t="s">
        <v>19</v>
      </c>
      <c r="F8" s="3">
        <v>4274700.00</v>
      </c>
      <c r="G8" s="1">
        <f>ROUND(F8/SUMIFS(F:F,A:A,A8,B:B,B8),4)</f>
        <v>0.1000</v>
      </c>
    </row>
    <row r="9">
      <c r="A9" t="s">
        <v>9</v>
      </c>
      <c r="B9" s="2">
        <v>46203</v>
      </c>
      <c r="C9" t="s">
        <v>20</v>
      </c>
      <c r="D9" t="s">
        <v>21</v>
      </c>
      <c r="E9" t="s">
        <v>19</v>
      </c>
      <c r="F9" s="3">
        <v>2992290.00</v>
      </c>
      <c r="G9" s="1">
        <f>ROUND(F9/SUMIFS(F:F,A:A,A9,B:B,B9),4)</f>
        <v>0.0700</v>
      </c>
    </row>
    <row r="10">
      <c r="A10" t="s">
        <v>9</v>
      </c>
      <c r="B10" s="2">
        <v>46203</v>
      </c>
      <c r="C10" t="s">
        <v>22</v>
      </c>
      <c r="D10" t="s">
        <v>23</v>
      </c>
      <c r="E10" t="s">
        <v>24</v>
      </c>
      <c r="F10" s="3">
        <v>7266990.00</v>
      </c>
      <c r="G10" s="1">
        <f>ROUND(F10/SUMIFS(F:F,A:A,A10,B:B,B10),4)</f>
        <v>0.1700</v>
      </c>
    </row>
    <row r="11">
      <c r="A11" t="s">
        <v>9</v>
      </c>
      <c r="B11" s="2">
        <v>46203</v>
      </c>
      <c r="C11" t="s">
        <v>25</v>
      </c>
      <c r="D11" t="s">
        <v>26</v>
      </c>
      <c r="E11" t="s">
        <v>24</v>
      </c>
      <c r="F11" s="3">
        <v>7266990.00</v>
      </c>
      <c r="G11" s="1">
        <f>ROUND(F11/SUMIFS(F:F,A:A,A11,B:B,B11),4)</f>
        <v>0.1700</v>
      </c>
    </row>
    <row r="12">
      <c r="A12" t="s">
        <v>9</v>
      </c>
      <c r="B12" s="2">
        <v>46203</v>
      </c>
      <c r="C12" t="s">
        <v>27</v>
      </c>
      <c r="D12" t="s">
        <v>28</v>
      </c>
      <c r="E12" t="s">
        <v>29</v>
      </c>
      <c r="F12" s="3">
        <v>2137350.00</v>
      </c>
      <c r="G12" s="1">
        <f>ROUND(F12/SUMIFS(F:F,A:A,A12,B:B,B12),4)</f>
        <v>0.0500</v>
      </c>
    </row>
    <row r="13">
      <c r="A13" t="s">
        <v>9</v>
      </c>
      <c r="B13" s="2">
        <v>46295</v>
      </c>
      <c r="C13" t="s">
        <v>10</v>
      </c>
      <c r="D13" t="s">
        <v>11</v>
      </c>
      <c r="E13" t="s">
        <v>12</v>
      </c>
      <c r="F13" s="3">
        <v>6402363.53</v>
      </c>
      <c r="G13" s="1">
        <f>ROUND(F13/SUMIFS(F:F,A:A,A13,B:B,B13),4)</f>
        <v>0.1519</v>
      </c>
    </row>
    <row r="14">
      <c r="A14" t="s">
        <v>9</v>
      </c>
      <c r="B14" s="2">
        <v>46295</v>
      </c>
      <c r="C14" t="s">
        <v>13</v>
      </c>
      <c r="D14" t="s">
        <v>14</v>
      </c>
      <c r="E14" t="s">
        <v>12</v>
      </c>
      <c r="F14" s="3">
        <v>4977742.81</v>
      </c>
      <c r="G14" s="1">
        <f>ROUND(F14/SUMIFS(F:F,A:A,A14,B:B,B14),4)</f>
        <v>0.1181</v>
      </c>
    </row>
    <row r="15">
      <c r="A15" t="s">
        <v>9</v>
      </c>
      <c r="B15" s="2">
        <v>46295</v>
      </c>
      <c r="C15" t="s">
        <v>15</v>
      </c>
      <c r="D15" t="s">
        <v>16</v>
      </c>
      <c r="E15" t="s">
        <v>12</v>
      </c>
      <c r="F15" s="3">
        <v>4214854.20</v>
      </c>
      <c r="G15" s="1">
        <f>ROUND(F15/SUMIFS(F:F,A:A,A15,B:B,B15),4)</f>
        <v>0.1000</v>
      </c>
    </row>
    <row r="16">
      <c r="A16" t="s">
        <v>9</v>
      </c>
      <c r="B16" s="2">
        <v>46295</v>
      </c>
      <c r="C16" t="s">
        <v>17</v>
      </c>
      <c r="D16" t="s">
        <v>18</v>
      </c>
      <c r="E16" t="s">
        <v>19</v>
      </c>
      <c r="F16" s="3">
        <v>4214854.20</v>
      </c>
      <c r="G16" s="1">
        <f>ROUND(F16/SUMIFS(F:F,A:A,A16,B:B,B16),4)</f>
        <v>0.1000</v>
      </c>
    </row>
    <row r="17">
      <c r="A17" t="s">
        <v>9</v>
      </c>
      <c r="B17" s="2">
        <v>46295</v>
      </c>
      <c r="C17" t="s">
        <v>20</v>
      </c>
      <c r="D17" t="s">
        <v>21</v>
      </c>
      <c r="E17" t="s">
        <v>19</v>
      </c>
      <c r="F17" s="3">
        <v>2528912.52</v>
      </c>
      <c r="G17" s="1">
        <f>ROUND(F17/SUMIFS(F:F,A:A,A17,B:B,B17),4)</f>
        <v>0.0600</v>
      </c>
    </row>
    <row r="18">
      <c r="A18" t="s">
        <v>9</v>
      </c>
      <c r="B18" s="2">
        <v>46295</v>
      </c>
      <c r="C18" t="s">
        <v>22</v>
      </c>
      <c r="D18" t="s">
        <v>23</v>
      </c>
      <c r="E18" t="s">
        <v>24</v>
      </c>
      <c r="F18" s="3">
        <v>9694164.66</v>
      </c>
      <c r="G18" s="1">
        <f>ROUND(F18/SUMIFS(F:F,A:A,A18,B:B,B18),4)</f>
        <v>0.2300</v>
      </c>
    </row>
    <row r="19">
      <c r="A19" t="s">
        <v>9</v>
      </c>
      <c r="B19" s="2">
        <v>46295</v>
      </c>
      <c r="C19" t="s">
        <v>25</v>
      </c>
      <c r="D19" t="s">
        <v>26</v>
      </c>
      <c r="E19" t="s">
        <v>24</v>
      </c>
      <c r="F19" s="3">
        <v>8429708.40</v>
      </c>
      <c r="G19" s="1">
        <f>ROUND(F19/SUMIFS(F:F,A:A,A19,B:B,B19),4)</f>
        <v>0.2000</v>
      </c>
    </row>
    <row r="20">
      <c r="A20" t="s">
        <v>9</v>
      </c>
      <c r="B20" s="2">
        <v>46295</v>
      </c>
      <c r="C20" t="s">
        <v>27</v>
      </c>
      <c r="D20" t="s">
        <v>28</v>
      </c>
      <c r="E20" t="s">
        <v>29</v>
      </c>
      <c r="F20" s="3">
        <v>1685941.68</v>
      </c>
      <c r="G20" s="1">
        <f>ROUND(F20/SUMIFS(F:F,A:A,A20,B:B,B20),4)</f>
        <v>0.0400</v>
      </c>
    </row>
    <row r="21">
      <c r="A21" t="s">
        <v>30</v>
      </c>
      <c r="B21" s="2">
        <v>46203</v>
      </c>
      <c r="C21" t="s">
        <v>20</v>
      </c>
      <c r="D21" t="s">
        <v>21</v>
      </c>
      <c r="E21" t="s">
        <v>19</v>
      </c>
      <c r="F21" s="3">
        <v>24988160.00</v>
      </c>
      <c r="G21" s="1">
        <f>ROUND(F21/SUMIFS(F:F,A:A,A21,B:B,B21),4)</f>
        <v>0.2150</v>
      </c>
    </row>
    <row r="22">
      <c r="A22" t="s">
        <v>30</v>
      </c>
      <c r="B22" s="2">
        <v>46203</v>
      </c>
      <c r="C22" t="s">
        <v>17</v>
      </c>
      <c r="D22" t="s">
        <v>18</v>
      </c>
      <c r="E22" t="s">
        <v>19</v>
      </c>
      <c r="F22" s="3">
        <v>16271360.00</v>
      </c>
      <c r="G22" s="1">
        <f>ROUND(F22/SUMIFS(F:F,A:A,A22,B:B,B22),4)</f>
        <v>0.1400</v>
      </c>
    </row>
    <row r="23">
      <c r="A23" t="s">
        <v>30</v>
      </c>
      <c r="B23" s="2">
        <v>46203</v>
      </c>
      <c r="C23" t="s">
        <v>31</v>
      </c>
      <c r="D23" t="s">
        <v>32</v>
      </c>
      <c r="E23" t="s">
        <v>19</v>
      </c>
      <c r="F23" s="3">
        <v>12784640.00</v>
      </c>
      <c r="G23" s="1">
        <f>ROUND(F23/SUMIFS(F:F,A:A,A23,B:B,B23),4)</f>
        <v>0.1100</v>
      </c>
    </row>
    <row r="24">
      <c r="A24" t="s">
        <v>30</v>
      </c>
      <c r="B24" s="2">
        <v>46203</v>
      </c>
      <c r="C24" t="s">
        <v>13</v>
      </c>
      <c r="D24" t="s">
        <v>14</v>
      </c>
      <c r="E24" t="s">
        <v>12</v>
      </c>
      <c r="F24" s="3">
        <v>17108172.80</v>
      </c>
      <c r="G24" s="1">
        <f>ROUND(F24/SUMIFS(F:F,A:A,A24,B:B,B24),4)</f>
        <v>0.1472</v>
      </c>
    </row>
    <row r="25">
      <c r="A25" t="s">
        <v>30</v>
      </c>
      <c r="B25" s="2">
        <v>46203</v>
      </c>
      <c r="C25" t="s">
        <v>10</v>
      </c>
      <c r="D25" t="s">
        <v>11</v>
      </c>
      <c r="E25" t="s">
        <v>12</v>
      </c>
      <c r="F25" s="3">
        <v>15434547.20</v>
      </c>
      <c r="G25" s="1">
        <f>ROUND(F25/SUMIFS(F:F,A:A,A25,B:B,B25),4)</f>
        <v>0.1328</v>
      </c>
    </row>
    <row r="26">
      <c r="A26" t="s">
        <v>30</v>
      </c>
      <c r="B26" s="2">
        <v>46203</v>
      </c>
      <c r="C26" t="s">
        <v>22</v>
      </c>
      <c r="D26" t="s">
        <v>23</v>
      </c>
      <c r="E26" t="s">
        <v>24</v>
      </c>
      <c r="F26" s="3">
        <v>10460160.00</v>
      </c>
      <c r="G26" s="1">
        <f>ROUND(F26/SUMIFS(F:F,A:A,A26,B:B,B26),4)</f>
        <v>0.0900</v>
      </c>
    </row>
    <row r="27">
      <c r="A27" t="s">
        <v>30</v>
      </c>
      <c r="B27" s="2">
        <v>46203</v>
      </c>
      <c r="C27" t="s">
        <v>33</v>
      </c>
      <c r="D27" t="s">
        <v>34</v>
      </c>
      <c r="E27" t="s">
        <v>35</v>
      </c>
      <c r="F27" s="3">
        <v>9297920.00</v>
      </c>
      <c r="G27" s="1">
        <f>ROUND(F27/SUMIFS(F:F,A:A,A27,B:B,B27),4)</f>
        <v>0.0800</v>
      </c>
    </row>
    <row r="28">
      <c r="A28" t="s">
        <v>30</v>
      </c>
      <c r="B28" s="2">
        <v>46203</v>
      </c>
      <c r="C28" t="s">
        <v>36</v>
      </c>
      <c r="D28" t="s">
        <v>37</v>
      </c>
      <c r="E28" t="s">
        <v>38</v>
      </c>
      <c r="F28" s="3">
        <v>6392320.00</v>
      </c>
      <c r="G28" s="1">
        <f>ROUND(F28/SUMIFS(F:F,A:A,A28,B:B,B28),4)</f>
        <v>0.0550</v>
      </c>
    </row>
    <row r="29">
      <c r="A29" t="s">
        <v>30</v>
      </c>
      <c r="B29" s="2">
        <v>46203</v>
      </c>
      <c r="C29" t="s">
        <v>27</v>
      </c>
      <c r="D29" t="s">
        <v>28</v>
      </c>
      <c r="E29" t="s">
        <v>29</v>
      </c>
      <c r="F29" s="3">
        <v>3486720.00</v>
      </c>
      <c r="G29" s="1">
        <f>ROUND(F29/SUMIFS(F:F,A:A,A29,B:B,B29),4)</f>
        <v>0.0300</v>
      </c>
    </row>
    <row r="30">
      <c r="A30" t="s">
        <v>30</v>
      </c>
      <c r="B30" s="2">
        <v>46295</v>
      </c>
      <c r="C30" t="s">
        <v>20</v>
      </c>
      <c r="D30" t="s">
        <v>21</v>
      </c>
      <c r="E30" t="s">
        <v>19</v>
      </c>
      <c r="F30" s="3">
        <v>25130534.40</v>
      </c>
      <c r="G30" s="1">
        <f>ROUND(F30/SUMIFS(F:F,A:A,A30,B:B,B30),4)</f>
        <v>0.2250</v>
      </c>
    </row>
    <row r="31">
      <c r="A31" t="s">
        <v>30</v>
      </c>
      <c r="B31" s="2">
        <v>46295</v>
      </c>
      <c r="C31" t="s">
        <v>17</v>
      </c>
      <c r="D31" t="s">
        <v>18</v>
      </c>
      <c r="E31" t="s">
        <v>19</v>
      </c>
      <c r="F31" s="3">
        <v>15636776.96</v>
      </c>
      <c r="G31" s="1">
        <f>ROUND(F31/SUMIFS(F:F,A:A,A31,B:B,B31),4)</f>
        <v>0.1400</v>
      </c>
    </row>
    <row r="32">
      <c r="A32" t="s">
        <v>30</v>
      </c>
      <c r="B32" s="2">
        <v>46295</v>
      </c>
      <c r="C32" t="s">
        <v>31</v>
      </c>
      <c r="D32" t="s">
        <v>32</v>
      </c>
      <c r="E32" t="s">
        <v>19</v>
      </c>
      <c r="F32" s="3">
        <v>12286039.04</v>
      </c>
      <c r="G32" s="1">
        <f>ROUND(F32/SUMIFS(F:F,A:A,A32,B:B,B32),4)</f>
        <v>0.1100</v>
      </c>
    </row>
    <row r="33">
      <c r="A33" t="s">
        <v>30</v>
      </c>
      <c r="B33" s="2">
        <v>46295</v>
      </c>
      <c r="C33" t="s">
        <v>13</v>
      </c>
      <c r="D33" t="s">
        <v>14</v>
      </c>
      <c r="E33" t="s">
        <v>12</v>
      </c>
      <c r="F33" s="3">
        <v>17837094.86</v>
      </c>
      <c r="G33" s="1">
        <f>ROUND(F33/SUMIFS(F:F,A:A,A33,B:B,B33),4)</f>
        <v>0.1597</v>
      </c>
    </row>
    <row r="34">
      <c r="A34" t="s">
        <v>30</v>
      </c>
      <c r="B34" s="2">
        <v>46295</v>
      </c>
      <c r="C34" t="s">
        <v>10</v>
      </c>
      <c r="D34" t="s">
        <v>11</v>
      </c>
      <c r="E34" t="s">
        <v>12</v>
      </c>
      <c r="F34" s="3">
        <v>15111828.02</v>
      </c>
      <c r="G34" s="1">
        <f>ROUND(F34/SUMIFS(F:F,A:A,A34,B:B,B34),4)</f>
        <v>0.1353</v>
      </c>
    </row>
    <row r="35">
      <c r="A35" t="s">
        <v>30</v>
      </c>
      <c r="B35" s="2">
        <v>46295</v>
      </c>
      <c r="C35" t="s">
        <v>22</v>
      </c>
      <c r="D35" t="s">
        <v>23</v>
      </c>
      <c r="E35" t="s">
        <v>24</v>
      </c>
      <c r="F35" s="3">
        <v>10052213.76</v>
      </c>
      <c r="G35" s="1">
        <f>ROUND(F35/SUMIFS(F:F,A:A,A35,B:B,B35),4)</f>
        <v>0.0900</v>
      </c>
    </row>
    <row r="36">
      <c r="A36" t="s">
        <v>30</v>
      </c>
      <c r="B36" s="2">
        <v>46295</v>
      </c>
      <c r="C36" t="s">
        <v>33</v>
      </c>
      <c r="D36" t="s">
        <v>34</v>
      </c>
      <c r="E36" t="s">
        <v>35</v>
      </c>
      <c r="F36" s="3">
        <v>6143019.52</v>
      </c>
      <c r="G36" s="1">
        <f>ROUND(F36/SUMIFS(F:F,A:A,A36,B:B,B36),4)</f>
        <v>0.0550</v>
      </c>
    </row>
    <row r="37">
      <c r="A37" t="s">
        <v>30</v>
      </c>
      <c r="B37" s="2">
        <v>46295</v>
      </c>
      <c r="C37" t="s">
        <v>36</v>
      </c>
      <c r="D37" t="s">
        <v>37</v>
      </c>
      <c r="E37" t="s">
        <v>38</v>
      </c>
      <c r="F37" s="3">
        <v>6143019.52</v>
      </c>
      <c r="G37" s="1">
        <f>ROUND(F37/SUMIFS(F:F,A:A,A37,B:B,B37),4)</f>
        <v>0.0550</v>
      </c>
    </row>
    <row r="38">
      <c r="A38" t="s">
        <v>30</v>
      </c>
      <c r="B38" s="2">
        <v>46295</v>
      </c>
      <c r="C38" t="s">
        <v>27</v>
      </c>
      <c r="D38" t="s">
        <v>28</v>
      </c>
      <c r="E38" t="s">
        <v>29</v>
      </c>
      <c r="F38" s="3">
        <v>3350737.92</v>
      </c>
      <c r="G38" s="1">
        <f>ROUND(F38/SUMIFS(F:F,A:A,A38,B:B,B38),4)</f>
        <v>0.0300</v>
      </c>
    </row>
    <row r="39">
      <c r="A39" t="s">
        <v>39</v>
      </c>
      <c r="B39" s="2">
        <v>46203</v>
      </c>
      <c r="C39" t="s">
        <v>17</v>
      </c>
      <c r="D39" t="s">
        <v>18</v>
      </c>
      <c r="E39" t="s">
        <v>19</v>
      </c>
      <c r="F39" s="3">
        <v>18033360.00</v>
      </c>
      <c r="G39" s="1">
        <f>ROUND(F39/SUMIFS(F:F,A:A,A39,B:B,B39),4)</f>
        <v>0.2400</v>
      </c>
    </row>
    <row r="40">
      <c r="A40" t="s">
        <v>39</v>
      </c>
      <c r="B40" s="2">
        <v>46203</v>
      </c>
      <c r="C40" t="s">
        <v>20</v>
      </c>
      <c r="D40" t="s">
        <v>21</v>
      </c>
      <c r="E40" t="s">
        <v>19</v>
      </c>
      <c r="F40" s="3">
        <v>19536140.00</v>
      </c>
      <c r="G40" s="1">
        <f>ROUND(F40/SUMIFS(F:F,A:A,A40,B:B,B40),4)</f>
        <v>0.2600</v>
      </c>
    </row>
    <row r="41">
      <c r="A41" t="s">
        <v>39</v>
      </c>
      <c r="B41" s="2">
        <v>46203</v>
      </c>
      <c r="C41" t="s">
        <v>40</v>
      </c>
      <c r="D41" t="s">
        <v>41</v>
      </c>
      <c r="E41" t="s">
        <v>19</v>
      </c>
      <c r="F41" s="3">
        <v>7513900.00</v>
      </c>
      <c r="G41" s="1">
        <f>ROUND(F41/SUMIFS(F:F,A:A,A41,B:B,B41),4)</f>
        <v>0.1000</v>
      </c>
    </row>
    <row r="42">
      <c r="A42" t="s">
        <v>39</v>
      </c>
      <c r="B42" s="2">
        <v>46203</v>
      </c>
      <c r="C42" t="s">
        <v>31</v>
      </c>
      <c r="D42" t="s">
        <v>32</v>
      </c>
      <c r="E42" t="s">
        <v>19</v>
      </c>
      <c r="F42" s="3">
        <v>9016680.00</v>
      </c>
      <c r="G42" s="1">
        <f>ROUND(F42/SUMIFS(F:F,A:A,A42,B:B,B42),4)</f>
        <v>0.1200</v>
      </c>
    </row>
    <row r="43">
      <c r="A43" t="s">
        <v>39</v>
      </c>
      <c r="B43" s="2">
        <v>46203</v>
      </c>
      <c r="C43" t="s">
        <v>25</v>
      </c>
      <c r="D43" t="s">
        <v>26</v>
      </c>
      <c r="E43" t="s">
        <v>24</v>
      </c>
      <c r="F43" s="3">
        <v>6011120.00</v>
      </c>
      <c r="G43" s="1">
        <f>ROUND(F43/SUMIFS(F:F,A:A,A43,B:B,B43),4)</f>
        <v>0.0800</v>
      </c>
    </row>
    <row r="44">
      <c r="A44" t="s">
        <v>39</v>
      </c>
      <c r="B44" s="2">
        <v>46203</v>
      </c>
      <c r="C44" t="s">
        <v>33</v>
      </c>
      <c r="D44" t="s">
        <v>34</v>
      </c>
      <c r="E44" t="s">
        <v>35</v>
      </c>
      <c r="F44" s="3">
        <v>5259730.00</v>
      </c>
      <c r="G44" s="1">
        <f>ROUND(F44/SUMIFS(F:F,A:A,A44,B:B,B44),4)</f>
        <v>0.0700</v>
      </c>
    </row>
    <row r="45">
      <c r="A45" t="s">
        <v>39</v>
      </c>
      <c r="B45" s="2">
        <v>46203</v>
      </c>
      <c r="C45" t="s">
        <v>13</v>
      </c>
      <c r="D45" t="s">
        <v>14</v>
      </c>
      <c r="E45" t="s">
        <v>12</v>
      </c>
      <c r="F45" s="3">
        <v>6011120.00</v>
      </c>
      <c r="G45" s="1">
        <f>ROUND(F45/SUMIFS(F:F,A:A,A45,B:B,B45),4)</f>
        <v>0.0800</v>
      </c>
    </row>
    <row r="46">
      <c r="A46" t="s">
        <v>39</v>
      </c>
      <c r="B46" s="2">
        <v>46203</v>
      </c>
      <c r="C46" t="s">
        <v>27</v>
      </c>
      <c r="D46" t="s">
        <v>28</v>
      </c>
      <c r="E46" t="s">
        <v>29</v>
      </c>
      <c r="F46" s="3">
        <v>3756950.00</v>
      </c>
      <c r="G46" s="1">
        <f>ROUND(F46/SUMIFS(F:F,A:A,A46,B:B,B46),4)</f>
        <v>0.0500</v>
      </c>
    </row>
    <row r="47">
      <c r="A47" t="s">
        <v>39</v>
      </c>
      <c r="B47" s="2">
        <v>46295</v>
      </c>
      <c r="C47" t="s">
        <v>17</v>
      </c>
      <c r="D47" t="s">
        <v>18</v>
      </c>
      <c r="E47" t="s">
        <v>19</v>
      </c>
      <c r="F47" s="3">
        <v>16121448.15</v>
      </c>
      <c r="G47" s="1">
        <f>ROUND(F47/SUMIFS(F:F,A:A,A47,B:B,B47),4)</f>
        <v>0.2350</v>
      </c>
    </row>
    <row r="48">
      <c r="A48" t="s">
        <v>39</v>
      </c>
      <c r="B48" s="2">
        <v>46295</v>
      </c>
      <c r="C48" t="s">
        <v>20</v>
      </c>
      <c r="D48" t="s">
        <v>21</v>
      </c>
      <c r="E48" t="s">
        <v>19</v>
      </c>
      <c r="F48" s="3">
        <v>17493486.29</v>
      </c>
      <c r="G48" s="1">
        <f>ROUND(F48/SUMIFS(F:F,A:A,A48,B:B,B48),4)</f>
        <v>0.2550</v>
      </c>
    </row>
    <row r="49">
      <c r="A49" t="s">
        <v>39</v>
      </c>
      <c r="B49" s="2">
        <v>46295</v>
      </c>
      <c r="C49" t="s">
        <v>40</v>
      </c>
      <c r="D49" t="s">
        <v>41</v>
      </c>
      <c r="E49" t="s">
        <v>19</v>
      </c>
      <c r="F49" s="3">
        <v>6517181.17</v>
      </c>
      <c r="G49" s="1">
        <f>ROUND(F49/SUMIFS(F:F,A:A,A49,B:B,B49),4)</f>
        <v>0.0950</v>
      </c>
    </row>
    <row r="50">
      <c r="A50" t="s">
        <v>39</v>
      </c>
      <c r="B50" s="2">
        <v>46295</v>
      </c>
      <c r="C50" t="s">
        <v>31</v>
      </c>
      <c r="D50" t="s">
        <v>32</v>
      </c>
      <c r="E50" t="s">
        <v>19</v>
      </c>
      <c r="F50" s="3">
        <v>8575238.38</v>
      </c>
      <c r="G50" s="1">
        <f>ROUND(F50/SUMIFS(F:F,A:A,A50,B:B,B50),4)</f>
        <v>0.1250</v>
      </c>
    </row>
    <row r="51">
      <c r="A51" t="s">
        <v>39</v>
      </c>
      <c r="B51" s="2">
        <v>46295</v>
      </c>
      <c r="C51" t="s">
        <v>25</v>
      </c>
      <c r="D51" t="s">
        <v>26</v>
      </c>
      <c r="E51" t="s">
        <v>24</v>
      </c>
      <c r="F51" s="3">
        <v>5488152.56</v>
      </c>
      <c r="G51" s="1">
        <f>ROUND(F51/SUMIFS(F:F,A:A,A51,B:B,B51),4)</f>
        <v>0.0800</v>
      </c>
    </row>
    <row r="52">
      <c r="A52" t="s">
        <v>39</v>
      </c>
      <c r="B52" s="2">
        <v>46295</v>
      </c>
      <c r="C52" t="s">
        <v>33</v>
      </c>
      <c r="D52" t="s">
        <v>34</v>
      </c>
      <c r="E52" t="s">
        <v>35</v>
      </c>
      <c r="F52" s="3">
        <v>4802133.49</v>
      </c>
      <c r="G52" s="1">
        <f>ROUND(F52/SUMIFS(F:F,A:A,A52,B:B,B52),4)</f>
        <v>0.0700</v>
      </c>
    </row>
    <row r="53">
      <c r="A53" t="s">
        <v>39</v>
      </c>
      <c r="B53" s="2">
        <v>46295</v>
      </c>
      <c r="C53" t="s">
        <v>13</v>
      </c>
      <c r="D53" t="s">
        <v>14</v>
      </c>
      <c r="E53" t="s">
        <v>12</v>
      </c>
      <c r="F53" s="3">
        <v>5831162.10</v>
      </c>
      <c r="G53" s="1">
        <f>ROUND(F53/SUMIFS(F:F,A:A,A53,B:B,B53),4)</f>
        <v>0.0850</v>
      </c>
    </row>
    <row r="54">
      <c r="A54" t="s">
        <v>39</v>
      </c>
      <c r="B54" s="2">
        <v>46295</v>
      </c>
      <c r="C54" t="s">
        <v>27</v>
      </c>
      <c r="D54" t="s">
        <v>28</v>
      </c>
      <c r="E54" t="s">
        <v>29</v>
      </c>
      <c r="F54" s="3">
        <v>3773104.89</v>
      </c>
      <c r="G54" s="1">
        <f>ROUND(F54/SUMIFS(F:F,A:A,A54,B:B,B54),4)</f>
        <v>0.0550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42</v>
      </c>
    </row>
    <row r="2"/>
    <row r="3">
      <c r="A3" t="s">
        <v>2</v>
      </c>
      <c r="B3" t="s">
        <v>43</v>
      </c>
      <c r="C3" t="s">
        <v>44</v>
      </c>
      <c r="D3" t="s">
        <v>45</v>
      </c>
    </row>
    <row r="4">
      <c r="A4" t="s">
        <v>9</v>
      </c>
      <c r="B4" s="2">
        <v>46203</v>
      </c>
      <c r="C4" s="1">
        <v>0.0110</v>
      </c>
      <c r="D4" s="1">
        <v>0.0100</v>
      </c>
    </row>
    <row r="5">
      <c r="A5" t="s">
        <v>9</v>
      </c>
      <c r="B5" s="2">
        <v>46295</v>
      </c>
      <c r="C5" s="1">
        <v>-0.0140</v>
      </c>
      <c r="D5" s="1">
        <v>-0.0110</v>
      </c>
    </row>
    <row r="6">
      <c r="A6" t="s">
        <v>30</v>
      </c>
      <c r="B6" s="2">
        <v>46203</v>
      </c>
      <c r="C6" s="1">
        <v>0.0240</v>
      </c>
      <c r="D6" s="1">
        <v>0.0220</v>
      </c>
    </row>
    <row r="7">
      <c r="A7" t="s">
        <v>30</v>
      </c>
      <c r="B7" s="2">
        <v>46295</v>
      </c>
      <c r="C7" s="1">
        <v>-0.0390</v>
      </c>
      <c r="D7" s="1">
        <v>-0.0350</v>
      </c>
    </row>
    <row r="8">
      <c r="A8" t="s">
        <v>39</v>
      </c>
      <c r="B8" s="2">
        <v>46203</v>
      </c>
      <c r="C8" s="1">
        <v>0.0360</v>
      </c>
      <c r="D8" s="1">
        <v>0.0390</v>
      </c>
    </row>
    <row r="9">
      <c r="A9" t="s">
        <v>39</v>
      </c>
      <c r="B9" s="2">
        <v>46295</v>
      </c>
      <c r="C9" s="1">
        <v>-0.0870</v>
      </c>
      <c r="D9" s="1">
        <v>-0.0820</v>
      </c>
    </row>
  </sheetData>
</worksheet>
</file>